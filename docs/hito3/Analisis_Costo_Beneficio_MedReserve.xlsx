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eduar\Downloads\"/>
    </mc:Choice>
  </mc:AlternateContent>
  <xr:revisionPtr revIDLastSave="0" documentId="13_ncr:1_{24E1CC0E-DE38-4F2C-8198-5F8D15A927CB}" xr6:coauthVersionLast="47" xr6:coauthVersionMax="47" xr10:uidLastSave="{00000000-0000-0000-0000-000000000000}"/>
  <bookViews>
    <workbookView xWindow="-108" yWindow="-108" windowWidth="23256" windowHeight="13896" activeTab="2" xr2:uid="{00000000-000D-0000-FFFF-FFFF00000000}"/>
  </bookViews>
  <sheets>
    <sheet name="Costos" sheetId="1" r:id="rId1"/>
    <sheet name="Beneficios" sheetId="2" r:id="rId2"/>
    <sheet name="ROI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3" i="3" l="1"/>
  <c r="E12" i="3"/>
  <c r="E11" i="3"/>
  <c r="E10" i="3"/>
  <c r="E9" i="3"/>
  <c r="E8" i="3"/>
  <c r="E7" i="3"/>
  <c r="E6" i="3"/>
  <c r="E5" i="3"/>
  <c r="B5" i="3"/>
  <c r="E4" i="3"/>
  <c r="B4" i="3"/>
  <c r="B6" i="3" s="1"/>
  <c r="E3" i="3"/>
  <c r="E2" i="3"/>
  <c r="B6" i="2"/>
  <c r="D9" i="1"/>
  <c r="C9" i="1"/>
</calcChain>
</file>

<file path=xl/sharedStrings.xml><?xml version="1.0" encoding="utf-8"?>
<sst xmlns="http://schemas.openxmlformats.org/spreadsheetml/2006/main" count="35" uniqueCount="34">
  <si>
    <t>Categoría</t>
  </si>
  <si>
    <t>Descripción</t>
  </si>
  <si>
    <t>Costo Inicial (USD)</t>
  </si>
  <si>
    <t>Costo Mensual (USD)</t>
  </si>
  <si>
    <t>Desarrollo del sistema</t>
  </si>
  <si>
    <t>Programación completa</t>
  </si>
  <si>
    <t>Infraestructura en la nube</t>
  </si>
  <si>
    <t>Servidores</t>
  </si>
  <si>
    <t>Base de datos</t>
  </si>
  <si>
    <t>PostgreSQL + backups</t>
  </si>
  <si>
    <t>Integraciones</t>
  </si>
  <si>
    <t>SMS y Email</t>
  </si>
  <si>
    <t>Seguridad</t>
  </si>
  <si>
    <t>SSL y cifrado</t>
  </si>
  <si>
    <t>Mantenimiento</t>
  </si>
  <si>
    <t>Soporte técnico</t>
  </si>
  <si>
    <t>Capacitación</t>
  </si>
  <si>
    <t>Entrenamiento</t>
  </si>
  <si>
    <t>TOTAL</t>
  </si>
  <si>
    <t>Tipo de Beneficio</t>
  </si>
  <si>
    <t>Impacto Mensual (USD)</t>
  </si>
  <si>
    <t>Reducción de errores</t>
  </si>
  <si>
    <t>Ahorro en personal</t>
  </si>
  <si>
    <t>Incremento de citas</t>
  </si>
  <si>
    <t>Reducción de ausencias</t>
  </si>
  <si>
    <t>Concepto</t>
  </si>
  <si>
    <t>Valor</t>
  </si>
  <si>
    <t>Mes</t>
  </si>
  <si>
    <t>Ganancia Neta</t>
  </si>
  <si>
    <t>Beneficios Mensuales</t>
  </si>
  <si>
    <t>Costos Mensuales</t>
  </si>
  <si>
    <t>Beneficios Anuales</t>
  </si>
  <si>
    <t>Costos Anuales</t>
  </si>
  <si>
    <t>ROI (%)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</si>
</sst>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US"/>
              <a:t>Costos Iniciales vs Mensuales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Costos!$C$1</c:f>
              <c:strCache>
                <c:ptCount val="1"/>
                <c:pt idx="0">
                  <c:v>Costo Inicial (USD)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Costos!$A$2:$A$8</c:f>
              <c:strCache>
                <c:ptCount val="7"/>
                <c:pt idx="0">
                  <c:v>Desarrollo del sistema</c:v>
                </c:pt>
                <c:pt idx="1">
                  <c:v>Infraestructura en la nube</c:v>
                </c:pt>
                <c:pt idx="2">
                  <c:v>Base de datos</c:v>
                </c:pt>
                <c:pt idx="3">
                  <c:v>Integraciones</c:v>
                </c:pt>
                <c:pt idx="4">
                  <c:v>Seguridad</c:v>
                </c:pt>
                <c:pt idx="5">
                  <c:v>Mantenimiento</c:v>
                </c:pt>
                <c:pt idx="6">
                  <c:v>Capacitación</c:v>
                </c:pt>
              </c:strCache>
            </c:strRef>
          </c:cat>
          <c:val>
            <c:numRef>
              <c:f>Costos!$C$2:$C$8</c:f>
              <c:numCache>
                <c:formatCode>General</c:formatCode>
                <c:ptCount val="7"/>
                <c:pt idx="0">
                  <c:v>8000</c:v>
                </c:pt>
                <c:pt idx="1">
                  <c:v>500</c:v>
                </c:pt>
                <c:pt idx="2">
                  <c:v>300</c:v>
                </c:pt>
                <c:pt idx="3">
                  <c:v>200</c:v>
                </c:pt>
                <c:pt idx="4">
                  <c:v>200</c:v>
                </c:pt>
                <c:pt idx="5">
                  <c:v>0</c:v>
                </c:pt>
                <c:pt idx="6">
                  <c:v>300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6C9-4554-A952-E45F9D753885}"/>
            </c:ext>
          </c:extLst>
        </c:ser>
        <c:ser>
          <c:idx val="1"/>
          <c:order val="1"/>
          <c:tx>
            <c:strRef>
              <c:f>Costos!$D$1</c:f>
              <c:strCache>
                <c:ptCount val="1"/>
                <c:pt idx="0">
                  <c:v>Costo Mensual (USD)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Costos!$A$2:$A$8</c:f>
              <c:strCache>
                <c:ptCount val="7"/>
                <c:pt idx="0">
                  <c:v>Desarrollo del sistema</c:v>
                </c:pt>
                <c:pt idx="1">
                  <c:v>Infraestructura en la nube</c:v>
                </c:pt>
                <c:pt idx="2">
                  <c:v>Base de datos</c:v>
                </c:pt>
                <c:pt idx="3">
                  <c:v>Integraciones</c:v>
                </c:pt>
                <c:pt idx="4">
                  <c:v>Seguridad</c:v>
                </c:pt>
                <c:pt idx="5">
                  <c:v>Mantenimiento</c:v>
                </c:pt>
                <c:pt idx="6">
                  <c:v>Capacitación</c:v>
                </c:pt>
              </c:strCache>
            </c:strRef>
          </c:cat>
          <c:val>
            <c:numRef>
              <c:f>Costos!$D$2:$D$8</c:f>
              <c:numCache>
                <c:formatCode>General</c:formatCode>
                <c:ptCount val="7"/>
                <c:pt idx="0">
                  <c:v>0</c:v>
                </c:pt>
                <c:pt idx="1">
                  <c:v>150</c:v>
                </c:pt>
                <c:pt idx="2">
                  <c:v>50</c:v>
                </c:pt>
                <c:pt idx="3">
                  <c:v>80</c:v>
                </c:pt>
                <c:pt idx="4">
                  <c:v>20</c:v>
                </c:pt>
                <c:pt idx="5">
                  <c:v>300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6C9-4554-A952-E45F9D75388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Categorías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USD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US"/>
              <a:t>Beneficios Mensuales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Beneficios!$B$1</c:f>
              <c:strCache>
                <c:ptCount val="1"/>
                <c:pt idx="0">
                  <c:v>Impacto Mensual (USD)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Beneficios!$A$2:$A$5</c:f>
              <c:strCache>
                <c:ptCount val="4"/>
                <c:pt idx="0">
                  <c:v>Reducción de errores</c:v>
                </c:pt>
                <c:pt idx="1">
                  <c:v>Ahorro en personal</c:v>
                </c:pt>
                <c:pt idx="2">
                  <c:v>Incremento de citas</c:v>
                </c:pt>
                <c:pt idx="3">
                  <c:v>Reducción de ausencias</c:v>
                </c:pt>
              </c:strCache>
            </c:strRef>
          </c:cat>
          <c:val>
            <c:numRef>
              <c:f>Beneficios!$B$2:$B$5</c:f>
              <c:numCache>
                <c:formatCode>General</c:formatCode>
                <c:ptCount val="4"/>
                <c:pt idx="0">
                  <c:v>300</c:v>
                </c:pt>
                <c:pt idx="1">
                  <c:v>500</c:v>
                </c:pt>
                <c:pt idx="2">
                  <c:v>1000</c:v>
                </c:pt>
                <c:pt idx="3">
                  <c:v>400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7EB-458A-96CA-5E85B6662A6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Tipo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USD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US"/>
              <a:t>Ganancia Mensual Proyectada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ROI!$E$1</c:f>
              <c:strCache>
                <c:ptCount val="1"/>
                <c:pt idx="0">
                  <c:v>Ganancia Neta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ROI!$D$2:$D$13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ROI!$E$2:$E$13</c:f>
              <c:numCache>
                <c:formatCode>General</c:formatCode>
                <c:ptCount val="12"/>
                <c:pt idx="0">
                  <c:v>1600</c:v>
                </c:pt>
                <c:pt idx="1">
                  <c:v>1600</c:v>
                </c:pt>
                <c:pt idx="2">
                  <c:v>1600</c:v>
                </c:pt>
                <c:pt idx="3">
                  <c:v>1600</c:v>
                </c:pt>
                <c:pt idx="4">
                  <c:v>1600</c:v>
                </c:pt>
                <c:pt idx="5">
                  <c:v>1600</c:v>
                </c:pt>
                <c:pt idx="6">
                  <c:v>1600</c:v>
                </c:pt>
                <c:pt idx="7">
                  <c:v>1600</c:v>
                </c:pt>
                <c:pt idx="8">
                  <c:v>1600</c:v>
                </c:pt>
                <c:pt idx="9">
                  <c:v>1600</c:v>
                </c:pt>
                <c:pt idx="10">
                  <c:v>1600</c:v>
                </c:pt>
                <c:pt idx="11">
                  <c:v>1600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00A2-4BD4-8D33-BCF68277308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Mes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USD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0</xdr:colOff>
      <xdr:row>1</xdr:row>
      <xdr:rowOff>0</xdr:rowOff>
    </xdr:from>
    <xdr:ext cx="5400000" cy="270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0</xdr:colOff>
      <xdr:row>1</xdr:row>
      <xdr:rowOff>0</xdr:rowOff>
    </xdr:from>
    <xdr:ext cx="5400000" cy="270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6</xdr:col>
      <xdr:colOff>0</xdr:colOff>
      <xdr:row>1</xdr:row>
      <xdr:rowOff>0</xdr:rowOff>
    </xdr:from>
    <xdr:ext cx="5400000" cy="270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9"/>
  <sheetViews>
    <sheetView workbookViewId="0"/>
  </sheetViews>
  <sheetFormatPr baseColWidth="10" defaultColWidth="8.88671875" defaultRowHeight="14.4" x14ac:dyDescent="0.3"/>
  <cols>
    <col min="1" max="1" width="22.21875" bestFit="1" customWidth="1"/>
    <col min="2" max="2" width="20.5546875" bestFit="1" customWidth="1"/>
    <col min="3" max="3" width="16.109375" bestFit="1" customWidth="1"/>
    <col min="4" max="4" width="18.21875" bestFit="1" customWidth="1"/>
  </cols>
  <sheetData>
    <row r="1" spans="1:4" x14ac:dyDescent="0.3">
      <c r="A1" t="s">
        <v>0</v>
      </c>
      <c r="B1" t="s">
        <v>1</v>
      </c>
      <c r="C1" t="s">
        <v>2</v>
      </c>
      <c r="D1" t="s">
        <v>3</v>
      </c>
    </row>
    <row r="2" spans="1:4" x14ac:dyDescent="0.3">
      <c r="A2" t="s">
        <v>4</v>
      </c>
      <c r="B2" t="s">
        <v>5</v>
      </c>
      <c r="C2">
        <v>8000</v>
      </c>
      <c r="D2">
        <v>0</v>
      </c>
    </row>
    <row r="3" spans="1:4" x14ac:dyDescent="0.3">
      <c r="A3" t="s">
        <v>6</v>
      </c>
      <c r="B3" t="s">
        <v>7</v>
      </c>
      <c r="C3">
        <v>500</v>
      </c>
      <c r="D3">
        <v>150</v>
      </c>
    </row>
    <row r="4" spans="1:4" x14ac:dyDescent="0.3">
      <c r="A4" t="s">
        <v>8</v>
      </c>
      <c r="B4" t="s">
        <v>9</v>
      </c>
      <c r="C4">
        <v>300</v>
      </c>
      <c r="D4">
        <v>50</v>
      </c>
    </row>
    <row r="5" spans="1:4" x14ac:dyDescent="0.3">
      <c r="A5" t="s">
        <v>10</v>
      </c>
      <c r="B5" t="s">
        <v>11</v>
      </c>
      <c r="C5">
        <v>200</v>
      </c>
      <c r="D5">
        <v>80</v>
      </c>
    </row>
    <row r="6" spans="1:4" x14ac:dyDescent="0.3">
      <c r="A6" t="s">
        <v>12</v>
      </c>
      <c r="B6" t="s">
        <v>13</v>
      </c>
      <c r="C6">
        <v>200</v>
      </c>
      <c r="D6">
        <v>20</v>
      </c>
    </row>
    <row r="7" spans="1:4" x14ac:dyDescent="0.3">
      <c r="A7" t="s">
        <v>14</v>
      </c>
      <c r="B7" t="s">
        <v>15</v>
      </c>
      <c r="C7">
        <v>0</v>
      </c>
      <c r="D7">
        <v>300</v>
      </c>
    </row>
    <row r="8" spans="1:4" x14ac:dyDescent="0.3">
      <c r="A8" t="s">
        <v>16</v>
      </c>
      <c r="B8" t="s">
        <v>17</v>
      </c>
      <c r="C8">
        <v>300</v>
      </c>
      <c r="D8">
        <v>0</v>
      </c>
    </row>
    <row r="9" spans="1:4" x14ac:dyDescent="0.3">
      <c r="A9" t="s">
        <v>18</v>
      </c>
      <c r="C9">
        <f>SUM(C2:C8)</f>
        <v>9500</v>
      </c>
      <c r="D9">
        <f>SUM(D2:D8)</f>
        <v>600</v>
      </c>
    </row>
  </sheetData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6"/>
  <sheetViews>
    <sheetView workbookViewId="0"/>
  </sheetViews>
  <sheetFormatPr baseColWidth="10" defaultColWidth="8.88671875" defaultRowHeight="14.4" x14ac:dyDescent="0.3"/>
  <cols>
    <col min="1" max="1" width="20.33203125" bestFit="1" customWidth="1"/>
  </cols>
  <sheetData>
    <row r="1" spans="1:2" x14ac:dyDescent="0.3">
      <c r="A1" t="s">
        <v>19</v>
      </c>
      <c r="B1" t="s">
        <v>20</v>
      </c>
    </row>
    <row r="2" spans="1:2" x14ac:dyDescent="0.3">
      <c r="A2" t="s">
        <v>21</v>
      </c>
      <c r="B2">
        <v>300</v>
      </c>
    </row>
    <row r="3" spans="1:2" x14ac:dyDescent="0.3">
      <c r="A3" t="s">
        <v>22</v>
      </c>
      <c r="B3">
        <v>500</v>
      </c>
    </row>
    <row r="4" spans="1:2" x14ac:dyDescent="0.3">
      <c r="A4" t="s">
        <v>23</v>
      </c>
      <c r="B4">
        <v>1000</v>
      </c>
    </row>
    <row r="5" spans="1:2" x14ac:dyDescent="0.3">
      <c r="A5" t="s">
        <v>24</v>
      </c>
      <c r="B5">
        <v>400</v>
      </c>
    </row>
    <row r="6" spans="1:2" x14ac:dyDescent="0.3">
      <c r="A6" t="s">
        <v>18</v>
      </c>
      <c r="B6">
        <f>SUM(B2:B5)</f>
        <v>2200</v>
      </c>
    </row>
  </sheetData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13"/>
  <sheetViews>
    <sheetView tabSelected="1" workbookViewId="0"/>
  </sheetViews>
  <sheetFormatPr baseColWidth="10" defaultColWidth="8.88671875" defaultRowHeight="14.4" x14ac:dyDescent="0.3"/>
  <cols>
    <col min="1" max="1" width="18.6640625" bestFit="1" customWidth="1"/>
  </cols>
  <sheetData>
    <row r="1" spans="1:5" x14ac:dyDescent="0.3">
      <c r="A1" t="s">
        <v>25</v>
      </c>
      <c r="B1" t="s">
        <v>26</v>
      </c>
      <c r="D1" t="s">
        <v>27</v>
      </c>
      <c r="E1" t="s">
        <v>28</v>
      </c>
    </row>
    <row r="2" spans="1:5" x14ac:dyDescent="0.3">
      <c r="A2" t="s">
        <v>29</v>
      </c>
      <c r="B2">
        <v>2200</v>
      </c>
      <c r="D2">
        <v>1</v>
      </c>
      <c r="E2">
        <f t="shared" ref="E2:E13" si="0">2200-600</f>
        <v>1600</v>
      </c>
    </row>
    <row r="3" spans="1:5" x14ac:dyDescent="0.3">
      <c r="A3" t="s">
        <v>30</v>
      </c>
      <c r="B3">
        <v>600</v>
      </c>
      <c r="D3">
        <v>2</v>
      </c>
      <c r="E3">
        <f t="shared" si="0"/>
        <v>1600</v>
      </c>
    </row>
    <row r="4" spans="1:5" x14ac:dyDescent="0.3">
      <c r="A4" t="s">
        <v>31</v>
      </c>
      <c r="B4">
        <f>B2*12</f>
        <v>26400</v>
      </c>
      <c r="D4">
        <v>3</v>
      </c>
      <c r="E4">
        <f t="shared" si="0"/>
        <v>1600</v>
      </c>
    </row>
    <row r="5" spans="1:5" x14ac:dyDescent="0.3">
      <c r="A5" t="s">
        <v>32</v>
      </c>
      <c r="B5">
        <f>9500+(B3*12)</f>
        <v>16700</v>
      </c>
      <c r="D5">
        <v>4</v>
      </c>
      <c r="E5">
        <f t="shared" si="0"/>
        <v>1600</v>
      </c>
    </row>
    <row r="6" spans="1:5" x14ac:dyDescent="0.3">
      <c r="A6" t="s">
        <v>33</v>
      </c>
      <c r="B6">
        <f>(B4-B5)/B5*100</f>
        <v>58.083832335329348</v>
      </c>
      <c r="D6">
        <v>5</v>
      </c>
      <c r="E6">
        <f t="shared" si="0"/>
        <v>1600</v>
      </c>
    </row>
    <row r="7" spans="1:5" x14ac:dyDescent="0.3">
      <c r="D7">
        <v>6</v>
      </c>
      <c r="E7">
        <f t="shared" si="0"/>
        <v>1600</v>
      </c>
    </row>
    <row r="8" spans="1:5" x14ac:dyDescent="0.3">
      <c r="D8">
        <v>7</v>
      </c>
      <c r="E8">
        <f t="shared" si="0"/>
        <v>1600</v>
      </c>
    </row>
    <row r="9" spans="1:5" x14ac:dyDescent="0.3">
      <c r="D9">
        <v>8</v>
      </c>
      <c r="E9">
        <f t="shared" si="0"/>
        <v>1600</v>
      </c>
    </row>
    <row r="10" spans="1:5" x14ac:dyDescent="0.3">
      <c r="D10">
        <v>9</v>
      </c>
      <c r="E10">
        <f t="shared" si="0"/>
        <v>1600</v>
      </c>
    </row>
    <row r="11" spans="1:5" x14ac:dyDescent="0.3">
      <c r="D11">
        <v>10</v>
      </c>
      <c r="E11">
        <f t="shared" si="0"/>
        <v>1600</v>
      </c>
    </row>
    <row r="12" spans="1:5" x14ac:dyDescent="0.3">
      <c r="D12">
        <v>11</v>
      </c>
      <c r="E12">
        <f t="shared" si="0"/>
        <v>1600</v>
      </c>
    </row>
    <row r="13" spans="1:5" x14ac:dyDescent="0.3">
      <c r="D13">
        <v>12</v>
      </c>
      <c r="E13">
        <f t="shared" si="0"/>
        <v>1600</v>
      </c>
    </row>
  </sheetData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Costos</vt:lpstr>
      <vt:lpstr>Beneficios</vt:lpstr>
      <vt:lpstr>ROI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GT JE</cp:lastModifiedBy>
  <dcterms:created xsi:type="dcterms:W3CDTF">2026-04-15T17:00:00Z</dcterms:created>
  <dcterms:modified xsi:type="dcterms:W3CDTF">2026-04-16T00:55:09Z</dcterms:modified>
</cp:coreProperties>
</file>